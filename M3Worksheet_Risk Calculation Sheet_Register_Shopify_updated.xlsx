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a6a6417acab1291/Documentos/CANADA/NORTHEASTERN UNIVERSITY/CLASSES/ALY 6130 RISK MANAGEMENT/Final Project/"/>
    </mc:Choice>
  </mc:AlternateContent>
  <xr:revisionPtr revIDLastSave="1" documentId="8_{6CC723F8-806D-4EA0-BDDD-246C50305C9C}" xr6:coauthVersionLast="47" xr6:coauthVersionMax="47" xr10:uidLastSave="{5C97B86E-05CF-40F3-AFFB-C9DC3DC31318}"/>
  <bookViews>
    <workbookView xWindow="28680" yWindow="-120" windowWidth="29040" windowHeight="15720" firstSheet="1" activeTab="3" xr2:uid="{00000000-000D-0000-FFFF-FFFF00000000}"/>
  </bookViews>
  <sheets>
    <sheet name="problem_statement" sheetId="4" r:id="rId1"/>
    <sheet name="KRI_framework " sheetId="5" r:id="rId2"/>
    <sheet name="RiskCalculationSheet" sheetId="1" r:id="rId3"/>
    <sheet name="RiskRegister" sheetId="6" r:id="rId4"/>
    <sheet name="Heatmap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SfMLycQnCobivPkhySP2Z2fxxZ5pYfJMAv/IsbUcM4Y="/>
    </ext>
  </extLst>
</workbook>
</file>

<file path=xl/calcChain.xml><?xml version="1.0" encoding="utf-8"?>
<calcChain xmlns="http://schemas.openxmlformats.org/spreadsheetml/2006/main">
  <c r="L4" i="6" l="1"/>
  <c r="L5" i="6"/>
  <c r="L6" i="6"/>
  <c r="L7" i="6"/>
  <c r="L3" i="6"/>
  <c r="K4" i="6"/>
  <c r="K5" i="6"/>
  <c r="K6" i="6"/>
  <c r="K7" i="6"/>
  <c r="K3" i="6"/>
  <c r="J4" i="6"/>
  <c r="J5" i="6"/>
  <c r="J6" i="6"/>
  <c r="J7" i="6"/>
  <c r="J3" i="6"/>
  <c r="I4" i="6"/>
  <c r="I5" i="6"/>
  <c r="I6" i="6"/>
  <c r="I7" i="6"/>
  <c r="I3" i="6"/>
  <c r="H4" i="6"/>
  <c r="H5" i="6"/>
  <c r="H6" i="6"/>
  <c r="H7" i="6"/>
  <c r="H3" i="6"/>
</calcChain>
</file>

<file path=xl/sharedStrings.xml><?xml version="1.0" encoding="utf-8"?>
<sst xmlns="http://schemas.openxmlformats.org/spreadsheetml/2006/main" count="152" uniqueCount="99">
  <si>
    <t>Financial</t>
  </si>
  <si>
    <t>Operational</t>
  </si>
  <si>
    <t>Competitive Risks</t>
  </si>
  <si>
    <t>Reputational</t>
  </si>
  <si>
    <t>Technical</t>
  </si>
  <si>
    <t xml:space="preserve">Very Low </t>
  </si>
  <si>
    <t xml:space="preserve">Moderate </t>
  </si>
  <si>
    <t xml:space="preserve">High </t>
  </si>
  <si>
    <t>Risk #</t>
  </si>
  <si>
    <t>The Risk of/That</t>
  </si>
  <si>
    <t>Likelihood Score</t>
  </si>
  <si>
    <t>Impact Score</t>
  </si>
  <si>
    <t>Low Impact</t>
  </si>
  <si>
    <t>Moderate Impact</t>
  </si>
  <si>
    <t>High Impact</t>
  </si>
  <si>
    <t>Total risk score</t>
  </si>
  <si>
    <t>IMPACT</t>
  </si>
  <si>
    <t>LIKELIHOOD</t>
  </si>
  <si>
    <t>Risk Category</t>
  </si>
  <si>
    <t>Minor overspend on integration tools (&lt;1% of project budget).</t>
  </si>
  <si>
    <t>Minor workflow friction from AI tool adoption among support staff.</t>
  </si>
  <si>
    <t>Negligible feature gap vs. very small niche competitors.</t>
  </si>
  <si>
    <t>Isolated negative social media mentions; no mainstream coverage.</t>
  </si>
  <si>
    <t>Minor UI/UX inconsistencies in AI search results display.</t>
  </si>
  <si>
    <t>Minor procedural documentation gap; self-identified and closed.</t>
  </si>
  <si>
    <t>Legal / Compliance</t>
  </si>
  <si>
    <t>Unexpected integration costs exceeding project budget by 5–10%.</t>
  </si>
  <si>
    <t>Employee resistance to AI culture change; delayed integration milestones.</t>
  </si>
  <si>
    <t>Loss of small/mid-size merchants to WooCommerce or BigCommerce.</t>
  </si>
  <si>
    <t>Merchant NPS score declines measurably following AI search launch.</t>
  </si>
  <si>
    <t>Partial AI model underperformance in non-English language markets.</t>
  </si>
  <si>
    <t>Regulatory inquiry from OPC (Canada) regarding LLM data processing.</t>
  </si>
  <si>
    <t>Reduced merchant transaction volume; technology obsolescence risk within 3 years.</t>
  </si>
  <si>
    <t>Cybersecurity incident during integration; partial merchant data exposed.</t>
  </si>
  <si>
    <t>Amazon/Google AI search dominance reduces Shopify Plus merchant retention.</t>
  </si>
  <si>
    <t>Negative analyst report and public system failure during peak retail season.</t>
  </si>
  <si>
    <t>AI search integration failure degrading merchant storefront experience at scale.</t>
  </si>
  <si>
    <t>GDPR enforcement action in EU market; formal fine issued.</t>
  </si>
  <si>
    <t>Revenue miss &gt;15% against analyst consensus; stock price decline &gt;20%.</t>
  </si>
  <si>
    <t>Sustained platform downtime &gt;8 hours affecting all global merchant storefronts.</t>
  </si>
  <si>
    <t>Mass merchant exodus to Amazon ecosystem following platform-wide AI failure.</t>
  </si>
  <si>
    <t>Class-action lawsuit and #DeleteShopify campaign trending globally.</t>
  </si>
  <si>
    <t>Zero-day exploit in Vantage Discovery LLM endpoint exposes all merchant data.</t>
  </si>
  <si>
    <t>Simultaneous GDPR, PIPEDA, and EU AI Act violations trigger maximum penalties.</t>
  </si>
  <si>
    <t>Shopify becomes insolvent or is acquired at a distressed valuation.</t>
  </si>
  <si>
    <t>Total and permanent destruction of merchant data; platform shutdown required.</t>
  </si>
  <si>
    <t>Complete loss of competitive viability; platform abandoned by merchants globally.</t>
  </si>
  <si>
    <t>Permanent, irreversible destruction of Shopify brand across all global markets.</t>
  </si>
  <si>
    <t>Catastrophic AI failure causes consumer harm; operating licence permanently revoked.</t>
  </si>
  <si>
    <t>Criminal prosecution of executives; company barred from operating in key jurisdictions.</t>
  </si>
  <si>
    <t>Probability of Occurrence</t>
  </si>
  <si>
    <t>Very Unlikely</t>
  </si>
  <si>
    <t>Somewhat Unlikely</t>
  </si>
  <si>
    <t>50-50 Possibility</t>
  </si>
  <si>
    <t>Somewhat Likely</t>
  </si>
  <si>
    <t>Very Likely</t>
  </si>
  <si>
    <t>Impact of Risk</t>
  </si>
  <si>
    <t>Score</t>
  </si>
  <si>
    <t xml:space="preserve">Low </t>
  </si>
  <si>
    <t xml:space="preserve">Catastrophic </t>
  </si>
  <si>
    <t>High Risk (&gt;20)</t>
  </si>
  <si>
    <t>Low Risk (&lt;10)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</si>
  <si>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</si>
  <si>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</si>
  <si>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</si>
  <si>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</si>
  <si>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</si>
  <si>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</si>
  <si>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</si>
  <si>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</si>
  <si>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</si>
  <si>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</si>
  <si>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</si>
  <si>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</si>
  <si>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</si>
  <si>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</si>
  <si>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</si>
  <si>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</si>
  <si>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</si>
  <si>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</si>
  <si>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</si>
  <si>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</si>
  <si>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</si>
  <si>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</si>
  <si>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</si>
  <si>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</si>
  <si>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R1, R2, R6</t>
  </si>
  <si>
    <t>R3, R4, R5</t>
  </si>
  <si>
    <t>R7, R8, R10</t>
  </si>
  <si>
    <t>R9, R12</t>
  </si>
  <si>
    <t>R14, R15</t>
  </si>
  <si>
    <t>R16, R17</t>
  </si>
  <si>
    <t>R13, R18</t>
  </si>
  <si>
    <t>R20, R21, R22, R24</t>
  </si>
  <si>
    <t>Moderate Risk (10-20)</t>
  </si>
  <si>
    <t>Impact\Likelihood</t>
  </si>
  <si>
    <t>Low Risk</t>
  </si>
  <si>
    <t>Moderate Risk</t>
  </si>
  <si>
    <t>High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</si>
</sst>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4" x14ac:knownFonts="1">
    <font>
      <sz val="11"/>
      <color theme="1"/>
      <name val="Arial"/>
      <scheme val="minor"/>
    </font>
    <font>
      <b/>
      <sz val="10"/>
      <color rgb="FFFFFFFF"/>
      <name val="Times New Roman"/>
      <family val="1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3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rgb="FF0000FF"/>
      <name val="Times New Roman"/>
      <family val="1"/>
    </font>
    <font>
      <b/>
      <sz val="10"/>
      <color rgb="FF00FF00"/>
      <name val="Times New Roman"/>
      <family val="1"/>
    </font>
    <font>
      <b/>
      <sz val="10"/>
      <color rgb="FFFFD966"/>
      <name val="Times New Roman"/>
      <family val="1"/>
    </font>
    <font>
      <sz val="8"/>
      <name val="Arial"/>
      <family val="2"/>
      <scheme val="minor"/>
    </font>
    <font>
      <b/>
      <sz val="10"/>
      <name val="Times New Roman"/>
      <family val="1"/>
    </font>
    <font>
      <sz val="11"/>
      <color theme="1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38761D"/>
      </patternFill>
    </fill>
    <fill>
      <patternFill patternType="solid">
        <fgColor rgb="FFE2EFDA"/>
      </patternFill>
    </fill>
    <fill>
      <patternFill patternType="solid">
        <fgColor rgb="FF93C47D"/>
      </patternFill>
    </fill>
    <fill>
      <patternFill patternType="solid">
        <fgColor rgb="FFFFCC00"/>
      </patternFill>
    </fill>
    <fill>
      <patternFill patternType="solid">
        <fgColor rgb="FFD9EAD3"/>
      </patternFill>
    </fill>
    <fill>
      <patternFill patternType="solid">
        <fgColor rgb="FFC0392B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50"/>
        <bgColor theme="9"/>
      </patternFill>
    </fill>
    <fill>
      <patternFill patternType="solid">
        <fgColor rgb="FF00B050"/>
        <bgColor rgb="FFFFFF00"/>
      </patternFill>
    </fill>
    <fill>
      <patternFill patternType="solid">
        <fgColor rgb="FF00B050"/>
        <bgColor rgb="FF00FF00"/>
      </patternFill>
    </fill>
    <fill>
      <patternFill patternType="solid">
        <fgColor rgb="FFFFFF00"/>
        <bgColor rgb="FFFFE599"/>
      </patternFill>
    </fill>
    <fill>
      <patternFill patternType="solid">
        <fgColor rgb="FFFF0000"/>
        <bgColor rgb="FFFFE599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2" xfId="0" applyFont="1" applyBorder="1" applyAlignment="1">
      <alignment vertical="top" wrapText="1"/>
    </xf>
    <xf numFmtId="0" fontId="3" fillId="0" borderId="2" xfId="0" applyFont="1" applyBorder="1"/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64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 readingOrder="1"/>
    </xf>
    <xf numFmtId="9" fontId="3" fillId="0" borderId="0" xfId="0" applyNumberFormat="1" applyFont="1" applyAlignment="1">
      <alignment horizontal="left" vertical="top" wrapText="1"/>
    </xf>
    <xf numFmtId="0" fontId="1" fillId="16" borderId="3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left" vertical="top" wrapText="1"/>
    </xf>
    <xf numFmtId="0" fontId="2" fillId="16" borderId="1" xfId="0" applyFont="1" applyFill="1" applyBorder="1" applyAlignment="1">
      <alignment horizontal="center" vertical="top" wrapText="1"/>
    </xf>
    <xf numFmtId="0" fontId="7" fillId="0" borderId="2" xfId="0" applyFont="1" applyBorder="1"/>
    <xf numFmtId="0" fontId="2" fillId="16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6" fillId="12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3" fillId="17" borderId="4" xfId="0" applyFont="1" applyFill="1" applyBorder="1"/>
    <xf numFmtId="0" fontId="3" fillId="4" borderId="4" xfId="0" applyFont="1" applyFill="1" applyBorder="1"/>
    <xf numFmtId="0" fontId="3" fillId="5" borderId="4" xfId="0" applyFont="1" applyFill="1" applyBorder="1"/>
    <xf numFmtId="0" fontId="3" fillId="7" borderId="2" xfId="0" applyFont="1" applyFill="1" applyBorder="1"/>
    <xf numFmtId="0" fontId="9" fillId="0" borderId="0" xfId="0" applyFont="1"/>
    <xf numFmtId="0" fontId="3" fillId="0" borderId="0" xfId="0" applyFont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18" borderId="6" xfId="0" applyFont="1" applyFill="1" applyBorder="1" applyAlignment="1">
      <alignment horizontal="center" vertical="center" wrapText="1"/>
    </xf>
    <xf numFmtId="0" fontId="3" fillId="20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17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0" xfId="0" applyFont="1"/>
    <xf numFmtId="0" fontId="8" fillId="0" borderId="4" xfId="0" applyFont="1" applyBorder="1" applyAlignment="1">
      <alignment horizontal="center" vertical="distributed"/>
    </xf>
    <xf numFmtId="0" fontId="8" fillId="0" borderId="4" xfId="0" applyFont="1" applyBorder="1" applyAlignment="1">
      <alignment horizontal="center" vertical="center" textRotation="255"/>
    </xf>
    <xf numFmtId="0" fontId="13" fillId="9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42864</xdr:rowOff>
    </xdr:from>
    <xdr:to>
      <xdr:col>13</xdr:col>
      <xdr:colOff>419101</xdr:colOff>
      <xdr:row>17</xdr:row>
      <xdr:rowOff>33338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3576088-4E1D-B50F-4C74-08F7D198E251}"/>
            </a:ext>
          </a:extLst>
        </xdr:cNvPr>
        <xdr:cNvSpPr txBox="1"/>
      </xdr:nvSpPr>
      <xdr:spPr>
        <a:xfrm>
          <a:off x="1" y="42864"/>
          <a:ext cx="9334500" cy="29051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/>
            <a:t>Problem Statement</a:t>
          </a:r>
          <a:r>
            <a:rPr lang="en-CA" sz="1100"/>
            <a:t>: Navigating the AI Transition at IRCC</a:t>
          </a:r>
        </a:p>
        <a:p>
          <a:endParaRPr lang="en-CA" sz="1100"/>
        </a:p>
        <a:p>
          <a:r>
            <a:rPr lang="en-CA" sz="1100" b="1"/>
            <a:t>The Context</a:t>
          </a:r>
          <a:r>
            <a:rPr lang="en-CA" sz="1100"/>
            <a:t>: IRCC is integrating emerging technologies like AI to solve application backlogs and modernize processing.</a:t>
          </a:r>
        </a:p>
        <a:p>
          <a:endParaRPr lang="en-CA" sz="1100"/>
        </a:p>
        <a:p>
          <a:r>
            <a:rPr lang="en-CA" sz="1100" b="1"/>
            <a:t>The Problem</a:t>
          </a:r>
          <a:r>
            <a:rPr lang="en-CA" sz="1100"/>
            <a:t>: Automation introduces critical risks that could compromise the integrity of the immigration system. Key concerns include algorithmic bias in decision-making, legal/compliance costs from lack of transparency, and technical failures during system integration.</a:t>
          </a:r>
        </a:p>
        <a:p>
          <a:endParaRPr lang="en-CA" sz="1100"/>
        </a:p>
        <a:p>
          <a:r>
            <a:rPr lang="en-CA" sz="1100" b="1"/>
            <a:t>Target</a:t>
          </a:r>
          <a:r>
            <a:rPr lang="en-CA" sz="1100"/>
            <a:t>: Use the worksheet to quantify these risks (e.g., Data Privacy Breaches vs. Operational Costs) and determine which must be mitigated, avoided, transferred, or accepted to ensure a fair and efficient process.</a:t>
          </a:r>
        </a:p>
        <a:p>
          <a:endParaRPr lang="en-CA" sz="1100"/>
        </a:p>
        <a:p>
          <a:endParaRPr lang="en-CA" sz="1100"/>
        </a:p>
        <a:p>
          <a:endParaRPr lang="en-C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</xdr:row>
      <xdr:rowOff>128587</xdr:rowOff>
    </xdr:from>
    <xdr:to>
      <xdr:col>14</xdr:col>
      <xdr:colOff>309563</xdr:colOff>
      <xdr:row>40</xdr:row>
      <xdr:rowOff>138112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513B31-236E-18FC-83C1-D06243AC4D7E}"/>
            </a:ext>
          </a:extLst>
        </xdr:cNvPr>
        <xdr:cNvSpPr txBox="1"/>
      </xdr:nvSpPr>
      <xdr:spPr>
        <a:xfrm>
          <a:off x="85725" y="471487"/>
          <a:ext cx="9825038" cy="6524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KRI</a:t>
          </a:r>
          <a:r>
            <a:rPr lang="en-CA" sz="11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framework 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Key Risk Indicators (KRIs)</a:t>
          </a:r>
          <a:r>
            <a:rPr lang="en-CA" sz="11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</a:t>
          </a:r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designed to act as early warning signals for the high-impact risks identified in the register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1. </a:t>
          </a:r>
          <a:r>
            <a:rPr lang="en-CA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Preparation  and dentification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In the context of IRCC (Immigration, Refugees and Citizenship Canada), the core strategy is to leverage AI for efficient and timely immigration processing while maintaining public trust and legal compliance.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Top Risks</a:t>
          </a:r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: Algorithmic bias/discrimination, data privacy breaches, and system failures.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Strategic Alignment: KRIs must measure factors that threaten the "fairness" and "reliability" of automated decisions.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b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</a:b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2. </a:t>
          </a:r>
          <a:r>
            <a:rPr lang="en-CA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KRI Selection and Framework Setup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The following KRIs</a:t>
          </a:r>
          <a:r>
            <a:rPr lang="en-CA" sz="11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</a:t>
          </a:r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are designed to be measurable and predictive.</a:t>
          </a:r>
          <a:r>
            <a:rPr lang="en-CA" sz="11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</a:t>
          </a: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Legal/EthicalEthical concerns of fairness and algorithmic bias (#21, #26)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Bias Variance Score: Deviation in approval rates between demographic groups. &gt; 5% variance from the baseline.</a:t>
          </a:r>
        </a:p>
        <a:p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Operational System failure/down time (#12)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System Latency/Uptime: Frequency of "micro-outages" or processing lags.&gt; 2 outages (&gt;15 mins) per month.</a:t>
          </a:r>
          <a:b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</a:b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Technical Limited or poor training data quality (#25, #27)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Data Integrity Score: % of incomplete or "noisy" fields in applicant data. &lt; 95% data completeness.</a:t>
          </a:r>
        </a:p>
        <a:p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Compliance: 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Conflict with regulatory standards for AI transparency (#29)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Audit Trail Fail Rate: % of AI decisions lacking a "human-interpretable" rationale. &gt; 1% of decisions.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b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</a:b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3. </a:t>
          </a:r>
          <a:r>
            <a:rPr lang="en-CA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Assessment and Monitoring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Evaluate Risk Criticality: We prioritize monitoring the Bias Variance Score because its impact is categorized as "High" (8) and "Extremely High" (9) in your assessment.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Track &amp; Report: These KRIs should be reported monthly to the Risk Management Unit to identify if the AI is drifting toward "algorithmic blind spots."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b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</a:b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4. </a:t>
          </a:r>
          <a:r>
            <a:rPr lang="en-CA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Mitigation and Review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To ensure these KRIs lead to action: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Implementation: If the Bias Variance Score hits the 5% threshold, an immediate "human-in-the-loop" review is triggered (Mitigation Plan).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Measure Effectiveness: Quarterly reviews will check if the thresholds are too sensitive or not sensitive enough.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CA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Review and Repair: Update the KRI thresholds if IRCC receives new mandates or if the "Decision accuracy by rivals" (#14) creates a new industry standard.</a:t>
          </a:r>
          <a:endParaRPr lang="en-CA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CA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E06F-F51E-469C-AE1B-BA5A1686EED7}">
  <dimension ref="A1"/>
  <sheetViews>
    <sheetView workbookViewId="0">
      <selection activeCell="B5" sqref="B5"/>
    </sheetView>
  </sheetViews>
  <sheetFormatPr defaultColWidth="8.83203125" defaultRowHeight="1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CB40-D29D-4B80-BAFC-CB098B060AA3}">
  <dimension ref="A1"/>
  <sheetViews>
    <sheetView workbookViewId="0">
      <selection activeCell="B1" sqref="B1"/>
    </sheetView>
  </sheetViews>
  <sheetFormatPr defaultColWidth="8.83203125" defaultRowHeight="1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79"/>
  <sheetViews>
    <sheetView showGridLines="0" workbookViewId="0">
      <selection activeCell="D6" sqref="D6"/>
    </sheetView>
  </sheetViews>
  <sheetFormatPr defaultColWidth="12.5" defaultRowHeight="15" customHeight="1" x14ac:dyDescent="0.3"/>
  <cols>
    <col min="1" max="1" width="18.6640625" style="2" customWidth="1"/>
    <col min="2" max="2" width="7.4140625" style="2" customWidth="1"/>
    <col min="3" max="8" width="30.5" style="2" customWidth="1"/>
    <col min="9" max="26" width="32.6640625" style="2" customWidth="1"/>
    <col min="27" max="16384" width="12.5" style="2"/>
  </cols>
  <sheetData>
    <row r="1" spans="1:26" ht="15.75" customHeight="1" x14ac:dyDescent="0.3">
      <c r="A1" s="15" t="s">
        <v>50</v>
      </c>
      <c r="B1" s="16" t="s">
        <v>57</v>
      </c>
      <c r="C1" s="3"/>
      <c r="D1" s="3"/>
      <c r="E1" s="3"/>
      <c r="F1" s="3"/>
      <c r="G1" s="4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" x14ac:dyDescent="0.3">
      <c r="A2" s="5" t="s">
        <v>51</v>
      </c>
      <c r="B2" s="6">
        <v>1</v>
      </c>
      <c r="C2" s="3"/>
      <c r="D2" s="3"/>
      <c r="E2" s="3"/>
      <c r="F2" s="3"/>
      <c r="G2" s="4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" x14ac:dyDescent="0.3">
      <c r="A3" s="5" t="s">
        <v>52</v>
      </c>
      <c r="B3" s="6">
        <v>3</v>
      </c>
      <c r="C3" s="3"/>
      <c r="D3" s="3"/>
      <c r="E3" s="3"/>
      <c r="F3" s="3"/>
      <c r="G3" s="4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" x14ac:dyDescent="0.3">
      <c r="A4" s="5" t="s">
        <v>53</v>
      </c>
      <c r="B4" s="6">
        <v>5</v>
      </c>
      <c r="C4" s="3"/>
      <c r="D4" s="3"/>
      <c r="E4" s="3"/>
      <c r="F4" s="3"/>
      <c r="G4" s="4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" x14ac:dyDescent="0.3">
      <c r="A5" s="5" t="s">
        <v>54</v>
      </c>
      <c r="B5" s="6">
        <v>7</v>
      </c>
      <c r="C5" s="3"/>
      <c r="D5" s="3"/>
      <c r="E5" s="3"/>
      <c r="F5" s="3"/>
      <c r="G5" s="4"/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" x14ac:dyDescent="0.3">
      <c r="A6" s="5" t="s">
        <v>55</v>
      </c>
      <c r="B6" s="6">
        <v>9</v>
      </c>
      <c r="C6" s="3"/>
      <c r="D6" s="3"/>
      <c r="E6" s="3"/>
      <c r="F6" s="3"/>
      <c r="G6" s="4"/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3"/>
      <c r="B7" s="3"/>
      <c r="C7" s="3"/>
      <c r="D7" s="3"/>
      <c r="E7" s="3"/>
      <c r="F7" s="3"/>
      <c r="G7" s="4"/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3"/>
      <c r="B8" s="3"/>
      <c r="C8" s="3"/>
      <c r="D8" s="3"/>
      <c r="E8" s="3"/>
      <c r="F8" s="3"/>
      <c r="G8" s="4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s="4" customFormat="1" ht="15.5" customHeight="1" x14ac:dyDescent="0.3">
      <c r="A9" s="14" t="s">
        <v>56</v>
      </c>
      <c r="B9" s="14" t="s">
        <v>57</v>
      </c>
      <c r="C9" s="14" t="s">
        <v>0</v>
      </c>
      <c r="D9" s="14" t="s">
        <v>1</v>
      </c>
      <c r="E9" s="14" t="s">
        <v>2</v>
      </c>
      <c r="F9" s="14" t="s">
        <v>3</v>
      </c>
      <c r="G9" s="14" t="s">
        <v>4</v>
      </c>
      <c r="H9" s="14" t="s">
        <v>25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s="9" customFormat="1" ht="25.5" customHeight="1" x14ac:dyDescent="0.3">
      <c r="A10" s="7" t="s">
        <v>5</v>
      </c>
      <c r="B10" s="8">
        <v>1</v>
      </c>
      <c r="C10" s="7" t="s">
        <v>19</v>
      </c>
      <c r="D10" s="7" t="s">
        <v>20</v>
      </c>
      <c r="E10" s="7" t="s">
        <v>21</v>
      </c>
      <c r="F10" s="7" t="s">
        <v>22</v>
      </c>
      <c r="G10" s="7" t="s">
        <v>23</v>
      </c>
      <c r="H10" s="7" t="s">
        <v>24</v>
      </c>
    </row>
    <row r="11" spans="1:26" s="9" customFormat="1" ht="25.5" customHeight="1" x14ac:dyDescent="0.3">
      <c r="A11" s="7" t="s">
        <v>58</v>
      </c>
      <c r="B11" s="8">
        <v>2</v>
      </c>
      <c r="C11" s="7" t="s">
        <v>26</v>
      </c>
      <c r="D11" s="7" t="s">
        <v>27</v>
      </c>
      <c r="E11" s="7" t="s">
        <v>28</v>
      </c>
      <c r="F11" s="7" t="s">
        <v>29</v>
      </c>
      <c r="G11" s="7" t="s">
        <v>30</v>
      </c>
      <c r="H11" s="7" t="s">
        <v>31</v>
      </c>
    </row>
    <row r="12" spans="1:26" s="9" customFormat="1" ht="31" customHeight="1" x14ac:dyDescent="0.3">
      <c r="A12" s="7" t="s">
        <v>6</v>
      </c>
      <c r="B12" s="8">
        <v>3</v>
      </c>
      <c r="C12" s="7" t="s">
        <v>32</v>
      </c>
      <c r="D12" s="7" t="s">
        <v>33</v>
      </c>
      <c r="E12" s="7" t="s">
        <v>34</v>
      </c>
      <c r="F12" s="7" t="s">
        <v>35</v>
      </c>
      <c r="G12" s="7" t="s">
        <v>36</v>
      </c>
      <c r="H12" s="7" t="s">
        <v>37</v>
      </c>
    </row>
    <row r="13" spans="1:26" s="9" customFormat="1" ht="25.5" customHeight="1" x14ac:dyDescent="0.3">
      <c r="A13" s="7" t="s">
        <v>7</v>
      </c>
      <c r="B13" s="8">
        <v>4</v>
      </c>
      <c r="C13" s="7" t="s">
        <v>38</v>
      </c>
      <c r="D13" s="7" t="s">
        <v>39</v>
      </c>
      <c r="E13" s="7" t="s">
        <v>40</v>
      </c>
      <c r="F13" s="7" t="s">
        <v>41</v>
      </c>
      <c r="G13" s="7" t="s">
        <v>42</v>
      </c>
      <c r="H13" s="7" t="s">
        <v>43</v>
      </c>
    </row>
    <row r="14" spans="1:26" s="9" customFormat="1" ht="25.5" customHeight="1" x14ac:dyDescent="0.3">
      <c r="A14" s="7" t="s">
        <v>59</v>
      </c>
      <c r="B14" s="8">
        <v>5</v>
      </c>
      <c r="C14" s="7" t="s">
        <v>44</v>
      </c>
      <c r="D14" s="7" t="s">
        <v>45</v>
      </c>
      <c r="E14" s="7" t="s">
        <v>46</v>
      </c>
      <c r="F14" s="7" t="s">
        <v>47</v>
      </c>
      <c r="G14" s="7" t="s">
        <v>48</v>
      </c>
      <c r="H14" s="7" t="s">
        <v>49</v>
      </c>
    </row>
    <row r="15" spans="1:26" ht="15.75" customHeight="1" x14ac:dyDescent="0.3">
      <c r="A15" s="10"/>
      <c r="B15" s="10"/>
      <c r="C15" s="11"/>
      <c r="D15" s="10"/>
      <c r="E15" s="12"/>
      <c r="F15" s="13"/>
      <c r="G15" s="13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0"/>
      <c r="B16" s="1"/>
      <c r="C16" s="1"/>
      <c r="D16" s="1"/>
      <c r="E16" s="1"/>
      <c r="F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"/>
      <c r="C17" s="1"/>
      <c r="D17" s="1"/>
      <c r="E17" s="1"/>
      <c r="F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/>
    <row r="201" spans="1:26" ht="15.75" customHeight="1" x14ac:dyDescent="0.3"/>
    <row r="202" spans="1:26" ht="15.75" customHeight="1" x14ac:dyDescent="0.3"/>
    <row r="203" spans="1:26" ht="15.75" customHeight="1" x14ac:dyDescent="0.3"/>
    <row r="204" spans="1:26" ht="15.75" customHeight="1" x14ac:dyDescent="0.3"/>
    <row r="205" spans="1:26" ht="15.75" customHeight="1" x14ac:dyDescent="0.3"/>
    <row r="206" spans="1:26" ht="15.75" customHeight="1" x14ac:dyDescent="0.3"/>
    <row r="207" spans="1:26" ht="15.75" customHeight="1" x14ac:dyDescent="0.3"/>
    <row r="208" spans="1:26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738D9-7FCE-0344-8E16-6CF646613C65}">
  <dimension ref="A1:L27"/>
  <sheetViews>
    <sheetView showGridLines="0" tabSelected="1" zoomScale="115" zoomScaleNormal="115" workbookViewId="0">
      <selection sqref="A1:B25"/>
    </sheetView>
  </sheetViews>
  <sheetFormatPr defaultColWidth="10.83203125" defaultRowHeight="13" x14ac:dyDescent="0.3"/>
  <cols>
    <col min="1" max="1" width="5.5" style="4" bestFit="1" customWidth="1"/>
    <col min="2" max="2" width="60.33203125" style="4" bestFit="1" customWidth="1"/>
    <col min="3" max="4" width="13.08203125" style="4" customWidth="1"/>
    <col min="5" max="5" width="13.75" style="4" bestFit="1" customWidth="1"/>
    <col min="6" max="6" width="10.83203125" style="4"/>
    <col min="7" max="7" width="13.1640625" style="4" bestFit="1" customWidth="1"/>
    <col min="8" max="8" width="13.6640625" style="47" customWidth="1"/>
    <col min="9" max="9" width="16.08203125" style="47" bestFit="1" customWidth="1"/>
    <col min="10" max="12" width="13.6640625" style="47" customWidth="1"/>
    <col min="13" max="16384" width="10.83203125" style="4"/>
  </cols>
  <sheetData>
    <row r="1" spans="1:12" x14ac:dyDescent="0.3">
      <c r="A1" s="18" t="s">
        <v>8</v>
      </c>
      <c r="B1" s="18" t="s">
        <v>9</v>
      </c>
      <c r="C1" s="18" t="s">
        <v>10</v>
      </c>
      <c r="D1" s="18" t="s">
        <v>11</v>
      </c>
      <c r="E1" s="18" t="s">
        <v>18</v>
      </c>
      <c r="G1" s="4" t="s">
        <v>15</v>
      </c>
    </row>
    <row r="2" spans="1:12" ht="14" x14ac:dyDescent="0.3">
      <c r="A2" s="19" t="s">
        <v>62</v>
      </c>
      <c r="B2" s="56" t="s">
        <v>19</v>
      </c>
      <c r="C2" s="20">
        <v>9</v>
      </c>
      <c r="D2" s="21">
        <v>1</v>
      </c>
      <c r="E2" s="22" t="s">
        <v>0</v>
      </c>
      <c r="G2" s="4" t="s">
        <v>95</v>
      </c>
      <c r="H2" s="47">
        <v>1</v>
      </c>
      <c r="I2" s="47">
        <v>3</v>
      </c>
      <c r="J2" s="47">
        <v>5</v>
      </c>
      <c r="K2" s="47">
        <v>7</v>
      </c>
      <c r="L2" s="47">
        <v>9</v>
      </c>
    </row>
    <row r="3" spans="1:12" ht="14" x14ac:dyDescent="0.3">
      <c r="A3" s="19" t="s">
        <v>63</v>
      </c>
      <c r="B3" s="56" t="s">
        <v>20</v>
      </c>
      <c r="C3" s="20">
        <v>9</v>
      </c>
      <c r="D3" s="21">
        <v>1</v>
      </c>
      <c r="E3" s="22" t="s">
        <v>1</v>
      </c>
      <c r="G3" s="4">
        <v>1</v>
      </c>
      <c r="H3" s="48">
        <f t="shared" ref="H3:L7" si="0">COUNTIFS($C$2:$C$25, H$2, $D$2:$D$25, $G3)</f>
        <v>0</v>
      </c>
      <c r="I3" s="48">
        <f t="shared" si="0"/>
        <v>0</v>
      </c>
      <c r="J3" s="48">
        <f t="shared" si="0"/>
        <v>0</v>
      </c>
      <c r="K3" s="48">
        <f t="shared" si="0"/>
        <v>3</v>
      </c>
      <c r="L3" s="48">
        <f t="shared" si="0"/>
        <v>3</v>
      </c>
    </row>
    <row r="4" spans="1:12" ht="14" x14ac:dyDescent="0.3">
      <c r="A4" s="19" t="s">
        <v>64</v>
      </c>
      <c r="B4" s="56" t="s">
        <v>21</v>
      </c>
      <c r="C4" s="20">
        <v>7</v>
      </c>
      <c r="D4" s="21">
        <v>1</v>
      </c>
      <c r="E4" s="22" t="s">
        <v>2</v>
      </c>
      <c r="G4" s="4">
        <v>2</v>
      </c>
      <c r="H4" s="48">
        <f t="shared" si="0"/>
        <v>0</v>
      </c>
      <c r="I4" s="48">
        <f t="shared" si="0"/>
        <v>0</v>
      </c>
      <c r="J4" s="48">
        <f t="shared" si="0"/>
        <v>2</v>
      </c>
      <c r="K4" s="48">
        <f t="shared" si="0"/>
        <v>3</v>
      </c>
      <c r="L4" s="48">
        <f t="shared" si="0"/>
        <v>1</v>
      </c>
    </row>
    <row r="5" spans="1:12" ht="14" x14ac:dyDescent="0.3">
      <c r="A5" s="19" t="s">
        <v>65</v>
      </c>
      <c r="B5" s="56" t="s">
        <v>22</v>
      </c>
      <c r="C5" s="20">
        <v>7</v>
      </c>
      <c r="D5" s="21">
        <v>1</v>
      </c>
      <c r="E5" s="22" t="s">
        <v>3</v>
      </c>
      <c r="G5" s="4">
        <v>3</v>
      </c>
      <c r="H5" s="48">
        <f t="shared" si="0"/>
        <v>0</v>
      </c>
      <c r="I5" s="48">
        <f t="shared" si="0"/>
        <v>2</v>
      </c>
      <c r="J5" s="48">
        <f t="shared" si="0"/>
        <v>2</v>
      </c>
      <c r="K5" s="48">
        <f t="shared" si="0"/>
        <v>2</v>
      </c>
      <c r="L5" s="48">
        <f t="shared" si="0"/>
        <v>0</v>
      </c>
    </row>
    <row r="6" spans="1:12" ht="14" x14ac:dyDescent="0.3">
      <c r="A6" s="19" t="s">
        <v>66</v>
      </c>
      <c r="B6" s="56" t="s">
        <v>23</v>
      </c>
      <c r="C6" s="20">
        <v>7</v>
      </c>
      <c r="D6" s="21">
        <v>1</v>
      </c>
      <c r="E6" s="22" t="s">
        <v>4</v>
      </c>
      <c r="G6" s="4">
        <v>4</v>
      </c>
      <c r="H6" s="48">
        <f t="shared" si="0"/>
        <v>0</v>
      </c>
      <c r="I6" s="48">
        <f t="shared" si="0"/>
        <v>4</v>
      </c>
      <c r="J6" s="48">
        <f t="shared" si="0"/>
        <v>1</v>
      </c>
      <c r="K6" s="48">
        <f t="shared" si="0"/>
        <v>1</v>
      </c>
      <c r="L6" s="48">
        <f t="shared" si="0"/>
        <v>0</v>
      </c>
    </row>
    <row r="7" spans="1:12" ht="14" x14ac:dyDescent="0.3">
      <c r="A7" s="19" t="s">
        <v>67</v>
      </c>
      <c r="B7" s="56" t="s">
        <v>24</v>
      </c>
      <c r="C7" s="20">
        <v>9</v>
      </c>
      <c r="D7" s="21">
        <v>1</v>
      </c>
      <c r="E7" s="22" t="s">
        <v>25</v>
      </c>
      <c r="G7" s="4">
        <v>5</v>
      </c>
      <c r="H7" s="48">
        <f t="shared" si="0"/>
        <v>0</v>
      </c>
      <c r="I7" s="48">
        <f t="shared" si="0"/>
        <v>0</v>
      </c>
      <c r="J7" s="48">
        <f t="shared" si="0"/>
        <v>0</v>
      </c>
      <c r="K7" s="48">
        <f t="shared" si="0"/>
        <v>0</v>
      </c>
      <c r="L7" s="48">
        <f t="shared" si="0"/>
        <v>0</v>
      </c>
    </row>
    <row r="8" spans="1:12" ht="14" x14ac:dyDescent="0.3">
      <c r="A8" s="19" t="s">
        <v>68</v>
      </c>
      <c r="B8" s="56" t="s">
        <v>26</v>
      </c>
      <c r="C8" s="23">
        <v>7</v>
      </c>
      <c r="D8" s="24">
        <v>2</v>
      </c>
      <c r="E8" s="22" t="s">
        <v>0</v>
      </c>
    </row>
    <row r="9" spans="1:12" ht="14" x14ac:dyDescent="0.3">
      <c r="A9" s="19" t="s">
        <v>69</v>
      </c>
      <c r="B9" s="56" t="s">
        <v>27</v>
      </c>
      <c r="C9" s="23">
        <v>7</v>
      </c>
      <c r="D9" s="24">
        <v>2</v>
      </c>
      <c r="E9" s="22" t="s">
        <v>1</v>
      </c>
      <c r="G9" s="4" t="s">
        <v>95</v>
      </c>
      <c r="H9" s="48" t="s">
        <v>12</v>
      </c>
      <c r="I9" s="49" t="s">
        <v>13</v>
      </c>
      <c r="J9" s="50" t="s">
        <v>14</v>
      </c>
    </row>
    <row r="10" spans="1:12" ht="14" x14ac:dyDescent="0.3">
      <c r="A10" s="19" t="s">
        <v>70</v>
      </c>
      <c r="B10" s="56" t="s">
        <v>28</v>
      </c>
      <c r="C10" s="23">
        <v>5</v>
      </c>
      <c r="D10" s="24">
        <v>2</v>
      </c>
      <c r="E10" s="22" t="s">
        <v>2</v>
      </c>
      <c r="G10" s="28" t="s">
        <v>96</v>
      </c>
      <c r="H10" s="48" t="s">
        <v>61</v>
      </c>
      <c r="I10" s="51"/>
      <c r="J10" s="51"/>
    </row>
    <row r="11" spans="1:12" ht="14" x14ac:dyDescent="0.3">
      <c r="A11" s="19" t="s">
        <v>71</v>
      </c>
      <c r="B11" s="56" t="s">
        <v>29</v>
      </c>
      <c r="C11" s="23">
        <v>7</v>
      </c>
      <c r="D11" s="24">
        <v>2</v>
      </c>
      <c r="E11" s="22" t="s">
        <v>3</v>
      </c>
      <c r="G11" s="29" t="s">
        <v>97</v>
      </c>
      <c r="H11" s="51"/>
      <c r="I11" s="49" t="s">
        <v>94</v>
      </c>
      <c r="J11" s="51"/>
    </row>
    <row r="12" spans="1:12" ht="14" x14ac:dyDescent="0.3">
      <c r="A12" s="19" t="s">
        <v>72</v>
      </c>
      <c r="B12" s="56" t="s">
        <v>30</v>
      </c>
      <c r="C12" s="23">
        <v>9</v>
      </c>
      <c r="D12" s="24">
        <v>2</v>
      </c>
      <c r="E12" s="22" t="s">
        <v>4</v>
      </c>
      <c r="G12" s="30" t="s">
        <v>98</v>
      </c>
      <c r="H12" s="51"/>
      <c r="I12" s="51"/>
      <c r="J12" s="50" t="s">
        <v>60</v>
      </c>
    </row>
    <row r="13" spans="1:12" ht="14" x14ac:dyDescent="0.3">
      <c r="A13" s="19" t="s">
        <v>73</v>
      </c>
      <c r="B13" s="56" t="s">
        <v>31</v>
      </c>
      <c r="C13" s="23">
        <v>5</v>
      </c>
      <c r="D13" s="24">
        <v>2</v>
      </c>
      <c r="E13" s="22" t="s">
        <v>25</v>
      </c>
    </row>
    <row r="14" spans="1:12" ht="28" x14ac:dyDescent="0.3">
      <c r="A14" s="19" t="s">
        <v>74</v>
      </c>
      <c r="B14" s="56" t="s">
        <v>32</v>
      </c>
      <c r="C14" s="23">
        <v>3</v>
      </c>
      <c r="D14" s="25">
        <v>3</v>
      </c>
      <c r="E14" s="22" t="s">
        <v>0</v>
      </c>
    </row>
    <row r="15" spans="1:12" ht="14" x14ac:dyDescent="0.3">
      <c r="A15" s="19" t="s">
        <v>75</v>
      </c>
      <c r="B15" s="56" t="s">
        <v>33</v>
      </c>
      <c r="C15" s="23">
        <v>7</v>
      </c>
      <c r="D15" s="25">
        <v>3</v>
      </c>
      <c r="E15" s="22" t="s">
        <v>1</v>
      </c>
    </row>
    <row r="16" spans="1:12" ht="14" x14ac:dyDescent="0.3">
      <c r="A16" s="19" t="s">
        <v>76</v>
      </c>
      <c r="B16" s="56" t="s">
        <v>34</v>
      </c>
      <c r="C16" s="23">
        <v>7</v>
      </c>
      <c r="D16" s="25">
        <v>3</v>
      </c>
      <c r="E16" s="22" t="s">
        <v>2</v>
      </c>
    </row>
    <row r="17" spans="1:5" ht="14" x14ac:dyDescent="0.3">
      <c r="A17" s="19" t="s">
        <v>77</v>
      </c>
      <c r="B17" s="56" t="s">
        <v>35</v>
      </c>
      <c r="C17" s="23">
        <v>5</v>
      </c>
      <c r="D17" s="25">
        <v>3</v>
      </c>
      <c r="E17" s="22" t="s">
        <v>3</v>
      </c>
    </row>
    <row r="18" spans="1:5" ht="14" x14ac:dyDescent="0.3">
      <c r="A18" s="19" t="s">
        <v>78</v>
      </c>
      <c r="B18" s="56" t="s">
        <v>36</v>
      </c>
      <c r="C18" s="23">
        <v>5</v>
      </c>
      <c r="D18" s="25">
        <v>3</v>
      </c>
      <c r="E18" s="22" t="s">
        <v>4</v>
      </c>
    </row>
    <row r="19" spans="1:5" ht="14" x14ac:dyDescent="0.3">
      <c r="A19" s="19" t="s">
        <v>79</v>
      </c>
      <c r="B19" s="56" t="s">
        <v>37</v>
      </c>
      <c r="C19" s="23">
        <v>3</v>
      </c>
      <c r="D19" s="25">
        <v>3</v>
      </c>
      <c r="E19" s="22" t="s">
        <v>25</v>
      </c>
    </row>
    <row r="20" spans="1:5" ht="14" x14ac:dyDescent="0.3">
      <c r="A20" s="19" t="s">
        <v>80</v>
      </c>
      <c r="B20" s="56" t="s">
        <v>38</v>
      </c>
      <c r="C20" s="26">
        <v>5</v>
      </c>
      <c r="D20" s="27">
        <v>4</v>
      </c>
      <c r="E20" s="22" t="s">
        <v>0</v>
      </c>
    </row>
    <row r="21" spans="1:5" ht="28" x14ac:dyDescent="0.3">
      <c r="A21" s="19" t="s">
        <v>81</v>
      </c>
      <c r="B21" s="56" t="s">
        <v>39</v>
      </c>
      <c r="C21" s="26">
        <v>3</v>
      </c>
      <c r="D21" s="27">
        <v>4</v>
      </c>
      <c r="E21" s="22" t="s">
        <v>1</v>
      </c>
    </row>
    <row r="22" spans="1:5" ht="28" x14ac:dyDescent="0.3">
      <c r="A22" s="19" t="s">
        <v>82</v>
      </c>
      <c r="B22" s="56" t="s">
        <v>40</v>
      </c>
      <c r="C22" s="26">
        <v>3</v>
      </c>
      <c r="D22" s="27">
        <v>4</v>
      </c>
      <c r="E22" s="22" t="s">
        <v>2</v>
      </c>
    </row>
    <row r="23" spans="1:5" ht="14" x14ac:dyDescent="0.3">
      <c r="A23" s="19" t="s">
        <v>83</v>
      </c>
      <c r="B23" s="56" t="s">
        <v>41</v>
      </c>
      <c r="C23" s="26">
        <v>3</v>
      </c>
      <c r="D23" s="27">
        <v>4</v>
      </c>
      <c r="E23" s="22" t="s">
        <v>3</v>
      </c>
    </row>
    <row r="24" spans="1:5" ht="28" x14ac:dyDescent="0.3">
      <c r="A24" s="19" t="s">
        <v>84</v>
      </c>
      <c r="B24" s="56" t="s">
        <v>42</v>
      </c>
      <c r="C24" s="26">
        <v>7</v>
      </c>
      <c r="D24" s="27">
        <v>4</v>
      </c>
      <c r="E24" s="22" t="s">
        <v>4</v>
      </c>
    </row>
    <row r="25" spans="1:5" ht="28" x14ac:dyDescent="0.3">
      <c r="A25" s="19" t="s">
        <v>85</v>
      </c>
      <c r="B25" s="56" t="s">
        <v>43</v>
      </c>
      <c r="C25" s="26">
        <v>3</v>
      </c>
      <c r="D25" s="27">
        <v>4</v>
      </c>
      <c r="E25" s="22" t="s">
        <v>25</v>
      </c>
    </row>
    <row r="26" spans="1:5" x14ac:dyDescent="0.3">
      <c r="A26" s="17"/>
      <c r="B26" s="17"/>
      <c r="C26" s="17"/>
      <c r="D26" s="17"/>
      <c r="E26" s="17"/>
    </row>
    <row r="27" spans="1:5" x14ac:dyDescent="0.3">
      <c r="A27" s="17"/>
      <c r="B27" s="17"/>
      <c r="C27" s="17"/>
      <c r="D27" s="17"/>
      <c r="E27" s="17"/>
    </row>
  </sheetData>
  <phoneticPr fontId="11" type="noConversion"/>
  <conditionalFormatting sqref="B1:D2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L7">
    <cfRule type="expression" dxfId="2" priority="1">
      <formula>$G3*H$2&gt;20</formula>
    </cfRule>
    <cfRule type="expression" dxfId="1" priority="2">
      <formula>AND($G3*H$2&gt;10,$G3*H$2&lt;=20)</formula>
    </cfRule>
    <cfRule type="expression" dxfId="0" priority="3">
      <formula>$G3*H$2&lt;=9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9"/>
  <sheetViews>
    <sheetView showGridLines="0" zoomScale="90" zoomScaleNormal="90" workbookViewId="0">
      <selection sqref="A1:G7"/>
    </sheetView>
  </sheetViews>
  <sheetFormatPr defaultColWidth="12.5" defaultRowHeight="15" customHeight="1" x14ac:dyDescent="0.3"/>
  <cols>
    <col min="1" max="1" width="4" style="2" customWidth="1"/>
    <col min="2" max="2" width="1.58203125" style="2" bestFit="1" customWidth="1"/>
    <col min="3" max="7" width="10.5" style="2" customWidth="1"/>
    <col min="8" max="13" width="8.5" style="2" customWidth="1"/>
    <col min="14" max="16384" width="12.5" style="2"/>
  </cols>
  <sheetData>
    <row r="1" spans="1:7" ht="15" customHeight="1" x14ac:dyDescent="0.3">
      <c r="C1" s="54" t="s">
        <v>17</v>
      </c>
      <c r="D1" s="54"/>
      <c r="E1" s="54"/>
      <c r="F1" s="54"/>
      <c r="G1" s="54"/>
    </row>
    <row r="2" spans="1:7" ht="13" x14ac:dyDescent="0.3">
      <c r="C2" s="46">
        <v>1</v>
      </c>
      <c r="D2" s="46">
        <v>3</v>
      </c>
      <c r="E2" s="46">
        <v>5</v>
      </c>
      <c r="F2" s="46">
        <v>7</v>
      </c>
      <c r="G2" s="46">
        <v>9</v>
      </c>
    </row>
    <row r="3" spans="1:7" ht="57" customHeight="1" x14ac:dyDescent="0.3">
      <c r="A3" s="55" t="s">
        <v>16</v>
      </c>
      <c r="B3" s="35">
        <v>5</v>
      </c>
      <c r="C3" s="36"/>
      <c r="D3" s="44"/>
      <c r="E3" s="45"/>
      <c r="F3" s="45"/>
      <c r="G3" s="45"/>
    </row>
    <row r="4" spans="1:7" ht="57" customHeight="1" x14ac:dyDescent="0.3">
      <c r="A4" s="55"/>
      <c r="B4" s="35">
        <v>4</v>
      </c>
      <c r="C4" s="36"/>
      <c r="D4" s="39" t="s">
        <v>93</v>
      </c>
      <c r="E4" s="37" t="s">
        <v>80</v>
      </c>
      <c r="F4" s="38" t="s">
        <v>84</v>
      </c>
      <c r="G4" s="38"/>
    </row>
    <row r="5" spans="1:7" ht="57" customHeight="1" x14ac:dyDescent="0.3">
      <c r="A5" s="55"/>
      <c r="B5" s="35">
        <v>3</v>
      </c>
      <c r="C5" s="41"/>
      <c r="D5" s="41" t="s">
        <v>92</v>
      </c>
      <c r="E5" s="34" t="s">
        <v>91</v>
      </c>
      <c r="F5" s="40" t="s">
        <v>90</v>
      </c>
      <c r="G5" s="38"/>
    </row>
    <row r="6" spans="1:7" ht="57" customHeight="1" x14ac:dyDescent="0.3">
      <c r="A6" s="55"/>
      <c r="B6" s="35">
        <v>2</v>
      </c>
      <c r="C6" s="42"/>
      <c r="D6" s="41"/>
      <c r="E6" s="34" t="s">
        <v>89</v>
      </c>
      <c r="F6" s="39" t="s">
        <v>88</v>
      </c>
      <c r="G6" s="37" t="s">
        <v>72</v>
      </c>
    </row>
    <row r="7" spans="1:7" ht="57" customHeight="1" x14ac:dyDescent="0.3">
      <c r="A7" s="55"/>
      <c r="B7" s="35">
        <v>1</v>
      </c>
      <c r="C7" s="42"/>
      <c r="D7" s="42"/>
      <c r="E7" s="42"/>
      <c r="F7" s="36" t="s">
        <v>87</v>
      </c>
      <c r="G7" s="43" t="s">
        <v>86</v>
      </c>
    </row>
    <row r="8" spans="1:7" ht="33.75" customHeight="1" x14ac:dyDescent="0.3">
      <c r="C8" s="31"/>
      <c r="D8" s="31"/>
      <c r="E8" s="31"/>
      <c r="F8" s="31"/>
      <c r="G8" s="31"/>
    </row>
    <row r="9" spans="1:7" ht="13.5" customHeight="1" x14ac:dyDescent="0.3">
      <c r="C9" s="32"/>
      <c r="D9" s="52"/>
      <c r="E9" s="53"/>
      <c r="F9" s="53"/>
      <c r="G9" s="53"/>
    </row>
    <row r="10" spans="1:7" ht="13.5" customHeight="1" x14ac:dyDescent="0.3">
      <c r="E10" s="33"/>
      <c r="F10" s="33"/>
      <c r="G10" s="33"/>
    </row>
    <row r="11" spans="1:7" ht="13.5" customHeight="1" x14ac:dyDescent="0.3"/>
    <row r="12" spans="1:7" ht="13.5" customHeight="1" x14ac:dyDescent="0.3"/>
    <row r="13" spans="1:7" ht="13.5" customHeight="1" x14ac:dyDescent="0.3"/>
    <row r="14" spans="1:7" ht="13.5" customHeight="1" x14ac:dyDescent="0.3"/>
    <row r="15" spans="1:7" ht="13.5" customHeight="1" x14ac:dyDescent="0.3"/>
    <row r="16" spans="1:7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  <row r="28" ht="13.5" customHeight="1" x14ac:dyDescent="0.3"/>
    <row r="29" ht="13.5" customHeight="1" x14ac:dyDescent="0.3"/>
    <row r="30" ht="13.5" customHeight="1" x14ac:dyDescent="0.3"/>
    <row r="31" ht="13.5" customHeight="1" x14ac:dyDescent="0.3"/>
    <row r="32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</sheetData>
  <mergeCells count="3">
    <mergeCell ref="D9:G9"/>
    <mergeCell ref="C1:G1"/>
    <mergeCell ref="A3:A7"/>
  </mergeCells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problem_statement</vt:lpstr>
      <vt:lpstr>KRI_framework </vt:lpstr>
      <vt:lpstr>RiskCalculationSheet</vt:lpstr>
      <vt:lpstr>RiskRegister</vt:lpstr>
      <vt:lpstr>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Lissette Diaz</dc:creator>
  <cp:lastModifiedBy>Lissette Diaz</cp:lastModifiedBy>
  <dcterms:created xsi:type="dcterms:W3CDTF">2026-05-29T22:39:06Z</dcterms:created>
  <dcterms:modified xsi:type="dcterms:W3CDTF">2026-06-26T19:16:48Z</dcterms:modified>
</cp:coreProperties>
</file>